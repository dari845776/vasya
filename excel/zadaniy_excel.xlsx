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 activeTab="4"/>
  </bookViews>
  <sheets>
    <sheet name="Лист 1" sheetId="1" r:id="rId1"/>
    <sheet name="Лист 2" sheetId="2" r:id="rId2"/>
    <sheet name="Лист 3" sheetId="3" r:id="rId3"/>
    <sheet name="Лист 4" sheetId="4" r:id="rId4"/>
    <sheet name="Лист 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<sst xmlns="http://schemas.openxmlformats.org/spreadsheetml/2006/main" count="22" uniqueCount="19">
  <si>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Максимальный показатель</t>
  </si>
  <si>
    <t>Сумма</t>
  </si>
  <si>
    <t>Сумма для 2</t>
  </si>
  <si>
    <t>Сумма для 3</t>
  </si>
  <si>
    <t>Статистическая функция</t>
  </si>
  <si>
    <t>Для A (Лист 3)</t>
  </si>
  <si>
    <t>Для B (Лист 3)</t>
  </si>
  <si>
    <t>Для C (Лист 3)</t>
  </si>
  <si>
    <t>Среднее значение</t>
  </si>
  <si>
    <t>Максимальное значение</t>
  </si>
  <si>
    <t>Минимальное значение</t>
  </si>
  <si>
    <t>Медиана</t>
  </si>
  <si>
    <t>Мода</t>
  </si>
  <si>
    <t>Дисперсия</t>
  </si>
  <si>
    <t/>
  </si>
  <si>
    <t>Колледж 1</t>
  </si>
  <si>
    <t>Колледж 2</t>
  </si>
  <si>
    <t>Колледж 3</t>
  </si>
  <si>
    <t>Колледж 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</si>
</sst>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</cellStyleXfs>
  <cellXfs count="2">
    <xf numFmtId="0" fontId="0" fillId="0" borderId="0" xfId="49"/>
    <xf numFmtId="0" fontId="0" fillId="0" borderId="0" xfId="49" applyAlignment="1">
      <alignment horizontal="left"/>
    </xf>
  </cellXfs>
  <cellStyles count="50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ru-RU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Доходы колледжей от продаж по годам</a:t>
            </a:r>
          </a:p>
        </c:rich>
      </c:tx>
      <c:layout/>
      <c:overlay val="0"/>
    </c:title>
    <c:autoTitleDeleted val="0"/>
    <c:plotArea>
      <c:layout/>
      <c:lineChart>
        <c:grouping val="none"/>
        <c:varyColors val="0"/>
        <c:ser>
          <c:idx val="0"/>
          <c:order val="0"/>
          <c:tx>
            <c:strRef>
              <c:f>"Колледж 1"</c:f>
              <c:strCache>
                <c:ptCount val="1"/>
                <c:pt idx="0">
                  <c:v>Колледж 1</c:v>
                </c:pt>
              </c:strCache>
            </c:strRef>
          </c:tx>
          <c:dLbls>
            <c:delete val="1"/>
          </c:dLbls>
          <c:cat>
            <c:numRef>
              <c:f>'Лист 5'!$B$1:$H$1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cat>
          <c:val>
            <c:numRef>
              <c:f>'Лист 5'!$B$2:$H$2</c:f>
              <c:numCache>
                <c:formatCode>General</c:formatCode>
                <c:ptCount val="7"/>
                <c:pt idx="0">
                  <c:v>1510000</c:v>
                </c:pt>
                <c:pt idx="1">
                  <c:v>2236476</c:v>
                </c:pt>
                <c:pt idx="2">
                  <c:v>1934765</c:v>
                </c:pt>
                <c:pt idx="3">
                  <c:v>4543534</c:v>
                </c:pt>
                <c:pt idx="4">
                  <c:v>2348887</c:v>
                </c:pt>
                <c:pt idx="5">
                  <c:v>1170004</c:v>
                </c:pt>
                <c:pt idx="6">
                  <c:v>2344598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"Колледж 2"</c:f>
              <c:strCache>
                <c:ptCount val="1"/>
                <c:pt idx="0">
                  <c:v>Колледж 2</c:v>
                </c:pt>
              </c:strCache>
            </c:strRef>
          </c:tx>
          <c:dLbls>
            <c:delete val="1"/>
          </c:dLbls>
          <c:cat>
            <c:numRef>
              <c:f>'Лист 5'!$B$1:$H$1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cat>
          <c:val>
            <c:numRef>
              <c:f>'Лист 5'!$B$3:$H$3</c:f>
              <c:numCache>
                <c:formatCode>General</c:formatCode>
                <c:ptCount val="7"/>
                <c:pt idx="0">
                  <c:v>237800</c:v>
                </c:pt>
                <c:pt idx="1">
                  <c:v>732647</c:v>
                </c:pt>
                <c:pt idx="2">
                  <c:v>567672</c:v>
                </c:pt>
                <c:pt idx="3">
                  <c:v>234234</c:v>
                </c:pt>
                <c:pt idx="4">
                  <c:v>323217</c:v>
                </c:pt>
                <c:pt idx="5">
                  <c:v>634423</c:v>
                </c:pt>
                <c:pt idx="6">
                  <c:v>235455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"Колледж 3"</c:f>
              <c:strCache>
                <c:ptCount val="1"/>
                <c:pt idx="0">
                  <c:v>Колледж 3</c:v>
                </c:pt>
              </c:strCache>
            </c:strRef>
          </c:tx>
          <c:dLbls>
            <c:delete val="1"/>
          </c:dLbls>
          <c:cat>
            <c:numRef>
              <c:f>'Лист 5'!$B$1:$H$1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cat>
          <c:val>
            <c:numRef>
              <c:f>'Лист 5'!$B$4:$H$4</c:f>
              <c:numCache>
                <c:formatCode>General</c:formatCode>
                <c:ptCount val="7"/>
                <c:pt idx="0">
                  <c:v>3211400</c:v>
                </c:pt>
                <c:pt idx="1">
                  <c:v>4873837</c:v>
                </c:pt>
                <c:pt idx="2">
                  <c:v>3654654</c:v>
                </c:pt>
                <c:pt idx="3">
                  <c:v>3453453</c:v>
                </c:pt>
                <c:pt idx="4">
                  <c:v>5435523</c:v>
                </c:pt>
                <c:pt idx="5">
                  <c:v>4586959</c:v>
                </c:pt>
                <c:pt idx="6">
                  <c:v>8576885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"Колледж 4"</c:f>
              <c:strCache>
                <c:ptCount val="1"/>
                <c:pt idx="0">
                  <c:v>Колледж 4</c:v>
                </c:pt>
              </c:strCache>
            </c:strRef>
          </c:tx>
          <c:dLbls>
            <c:delete val="1"/>
          </c:dLbls>
          <c:cat>
            <c:numRef>
              <c:f>'Лист 5'!$B$1:$H$1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cat>
          <c:val>
            <c:numRef>
              <c:f>'Лист 5'!$B$5:$H$5</c:f>
              <c:numCache>
                <c:formatCode>General</c:formatCode>
                <c:ptCount val="7"/>
                <c:pt idx="0">
                  <c:v>4961201</c:v>
                </c:pt>
                <c:pt idx="1">
                  <c:v>7844962</c:v>
                </c:pt>
                <c:pt idx="2">
                  <c:v>6159094</c:v>
                </c:pt>
                <c:pt idx="3">
                  <c:v>8233225</c:v>
                </c:pt>
                <c:pt idx="4">
                  <c:v>8109432</c:v>
                </c:pt>
                <c:pt idx="5">
                  <c:v>6393392</c:v>
                </c:pt>
                <c:pt idx="6">
                  <c:v>11158945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3694e49-e36d-4683-b374-0827b3e54177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6</xdr:row>
      <xdr:rowOff>0</xdr:rowOff>
    </xdr:from>
    <xdr:to>
      <xdr:col>8</xdr:col>
      <xdr:colOff>0</xdr:colOff>
      <xdr:row>25</xdr:row>
      <xdr:rowOff>0</xdr:rowOff>
    </xdr:to>
    <xdr:graphicFrame>
      <xdr:nvGraphicFramePr>
        <xdr:cNvPr id="2" name="Chart"/>
        <xdr:cNvGraphicFramePr/>
      </xdr:nvGraphicFramePr>
      <xdr:xfrm>
        <a:off x="0" y="1051560"/>
        <a:ext cx="8229600" cy="33299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"/>
  <sheetViews>
    <sheetView workbookViewId="0">
      <selection activeCell="A36" sqref="A36"/>
    </sheetView>
  </sheetViews>
  <sheetFormatPr defaultColWidth="9" defaultRowHeight="13.8" outlineLevelCol="1"/>
  <cols>
    <col min="1" max="1" width="26.8" customWidth="1"/>
    <col min="2" max="4" width="18" customWidth="1"/>
  </cols>
  <sheetData>
    <row r="1" spans="1:2">
      <c r="A1" t="s">
        <v>0</v>
      </c>
      <c r="B1" t="s">
        <v>1</v>
      </c>
    </row>
    <row r="2" spans="1:2">
      <c r="A2" s="1">
        <v>0</v>
      </c>
      <c r="B2" s="1">
        <f>2^A2</f>
        <v>1</v>
      </c>
    </row>
    <row r="3" spans="1:2">
      <c r="A3" s="1">
        <v>1</v>
      </c>
      <c r="B3" s="1">
        <f t="shared" ref="B3:B25" si="0">B2+2^A3</f>
        <v>3</v>
      </c>
    </row>
    <row r="4" spans="1:2">
      <c r="A4" s="1">
        <v>2</v>
      </c>
      <c r="B4" s="1">
        <f t="shared" si="0"/>
        <v>7</v>
      </c>
    </row>
    <row r="5" spans="1:2">
      <c r="A5" s="1">
        <v>3</v>
      </c>
      <c r="B5" s="1">
        <f t="shared" si="0"/>
        <v>15</v>
      </c>
    </row>
    <row r="6" spans="1:2">
      <c r="A6" s="1">
        <v>4</v>
      </c>
      <c r="B6" s="1">
        <f t="shared" si="0"/>
        <v>31</v>
      </c>
    </row>
    <row r="7" spans="1:2">
      <c r="A7" s="1">
        <v>5</v>
      </c>
      <c r="B7" s="1">
        <f t="shared" si="0"/>
        <v>63</v>
      </c>
    </row>
    <row r="8" spans="1:2">
      <c r="A8" s="1">
        <v>6</v>
      </c>
      <c r="B8" s="1">
        <f t="shared" si="0"/>
        <v>127</v>
      </c>
    </row>
    <row r="9" spans="1:2">
      <c r="A9" s="1">
        <v>7</v>
      </c>
      <c r="B9" s="1">
        <f t="shared" si="0"/>
        <v>255</v>
      </c>
    </row>
    <row r="10" spans="1:2">
      <c r="A10" s="1">
        <v>8</v>
      </c>
      <c r="B10" s="1">
        <f t="shared" si="0"/>
        <v>511</v>
      </c>
    </row>
    <row r="11" spans="1:2">
      <c r="A11" s="1">
        <v>9</v>
      </c>
      <c r="B11" s="1">
        <f t="shared" si="0"/>
        <v>1023</v>
      </c>
    </row>
    <row r="12" spans="1:2">
      <c r="A12" s="1">
        <v>10</v>
      </c>
      <c r="B12" s="1">
        <f t="shared" si="0"/>
        <v>2047</v>
      </c>
    </row>
    <row r="13" spans="1:2">
      <c r="A13" s="1">
        <v>11</v>
      </c>
      <c r="B13" s="1">
        <f t="shared" si="0"/>
        <v>4095</v>
      </c>
    </row>
    <row r="14" spans="1:2">
      <c r="A14" s="1">
        <v>12</v>
      </c>
      <c r="B14" s="1">
        <f t="shared" si="0"/>
        <v>8191</v>
      </c>
    </row>
    <row r="15" spans="1:2">
      <c r="A15" s="1">
        <v>13</v>
      </c>
      <c r="B15" s="1">
        <f t="shared" si="0"/>
        <v>16383</v>
      </c>
    </row>
    <row r="16" spans="1:2">
      <c r="A16" s="1">
        <v>14</v>
      </c>
      <c r="B16" s="1">
        <f t="shared" si="0"/>
        <v>32767</v>
      </c>
    </row>
    <row r="17" spans="1:2">
      <c r="A17" s="1">
        <v>15</v>
      </c>
      <c r="B17" s="1">
        <f t="shared" si="0"/>
        <v>65535</v>
      </c>
    </row>
    <row r="18" spans="1:2">
      <c r="A18" s="1">
        <v>16</v>
      </c>
      <c r="B18" s="1">
        <f t="shared" si="0"/>
        <v>131071</v>
      </c>
    </row>
    <row r="19" spans="1:2">
      <c r="A19" s="1">
        <v>17</v>
      </c>
      <c r="B19" s="1">
        <f t="shared" si="0"/>
        <v>262143</v>
      </c>
    </row>
    <row r="20" spans="1:2">
      <c r="A20" s="1">
        <v>18</v>
      </c>
      <c r="B20" s="1">
        <f t="shared" si="0"/>
        <v>524287</v>
      </c>
    </row>
    <row r="21" spans="1:2">
      <c r="A21" s="1">
        <v>19</v>
      </c>
      <c r="B21" s="1">
        <f t="shared" si="0"/>
        <v>1048575</v>
      </c>
    </row>
    <row r="22" spans="1:2">
      <c r="A22" s="1">
        <v>20</v>
      </c>
      <c r="B22" s="1">
        <f t="shared" si="0"/>
        <v>2097151</v>
      </c>
    </row>
    <row r="23" spans="1:2">
      <c r="A23" s="1">
        <v>21</v>
      </c>
      <c r="B23" s="1">
        <f t="shared" si="0"/>
        <v>4194303</v>
      </c>
    </row>
    <row r="24" spans="1:2">
      <c r="A24" s="1">
        <v>22</v>
      </c>
      <c r="B24" s="1">
        <f t="shared" si="0"/>
        <v>8388607</v>
      </c>
    </row>
    <row r="25" spans="1:2">
      <c r="A25" s="1">
        <v>23</v>
      </c>
      <c r="B25" s="1">
        <f t="shared" si="0"/>
        <v>16777215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"/>
  <sheetViews>
    <sheetView workbookViewId="0">
      <selection activeCell="D13" sqref="D13"/>
    </sheetView>
  </sheetViews>
  <sheetFormatPr defaultColWidth="9" defaultRowHeight="13.8" outlineLevelCol="1"/>
  <cols>
    <col min="1" max="1" width="28.3" customWidth="1"/>
    <col min="2" max="4" width="18" customWidth="1"/>
  </cols>
  <sheetData>
    <row r="1" spans="1:2">
      <c r="A1" t="s">
        <v>0</v>
      </c>
      <c r="B1" t="s">
        <v>1</v>
      </c>
    </row>
    <row r="2" spans="1:2">
      <c r="A2" s="1">
        <v>0</v>
      </c>
      <c r="B2" s="1">
        <f>3^A2</f>
        <v>1</v>
      </c>
    </row>
    <row r="3" spans="1:2">
      <c r="A3" s="1">
        <v>1</v>
      </c>
      <c r="B3" s="1">
        <f t="shared" ref="B3:B25" si="0">B2+3^A3</f>
        <v>4</v>
      </c>
    </row>
    <row r="4" spans="1:2">
      <c r="A4" s="1">
        <v>2</v>
      </c>
      <c r="B4" s="1">
        <f t="shared" si="0"/>
        <v>13</v>
      </c>
    </row>
    <row r="5" spans="1:2">
      <c r="A5" s="1">
        <v>3</v>
      </c>
      <c r="B5" s="1">
        <f t="shared" si="0"/>
        <v>40</v>
      </c>
    </row>
    <row r="6" spans="1:2">
      <c r="A6" s="1">
        <v>4</v>
      </c>
      <c r="B6" s="1">
        <f t="shared" si="0"/>
        <v>121</v>
      </c>
    </row>
    <row r="7" spans="1:2">
      <c r="A7" s="1">
        <v>5</v>
      </c>
      <c r="B7" s="1">
        <f t="shared" si="0"/>
        <v>364</v>
      </c>
    </row>
    <row r="8" spans="1:2">
      <c r="A8" s="1">
        <v>6</v>
      </c>
      <c r="B8" s="1">
        <f t="shared" si="0"/>
        <v>1093</v>
      </c>
    </row>
    <row r="9" spans="1:2">
      <c r="A9" s="1">
        <v>7</v>
      </c>
      <c r="B9" s="1">
        <f t="shared" si="0"/>
        <v>3280</v>
      </c>
    </row>
    <row r="10" spans="1:2">
      <c r="A10" s="1">
        <v>8</v>
      </c>
      <c r="B10" s="1">
        <f t="shared" si="0"/>
        <v>9841</v>
      </c>
    </row>
    <row r="11" spans="1:2">
      <c r="A11" s="1">
        <v>9</v>
      </c>
      <c r="B11" s="1">
        <f t="shared" si="0"/>
        <v>29524</v>
      </c>
    </row>
    <row r="12" spans="1:2">
      <c r="A12" s="1">
        <v>10</v>
      </c>
      <c r="B12" s="1">
        <f t="shared" si="0"/>
        <v>88573</v>
      </c>
    </row>
    <row r="13" spans="1:2">
      <c r="A13" s="1">
        <v>11</v>
      </c>
      <c r="B13" s="1">
        <f t="shared" si="0"/>
        <v>265720</v>
      </c>
    </row>
    <row r="14" spans="1:2">
      <c r="A14" s="1">
        <v>12</v>
      </c>
      <c r="B14" s="1">
        <f t="shared" si="0"/>
        <v>797161</v>
      </c>
    </row>
    <row r="15" spans="1:2">
      <c r="A15" s="1">
        <v>13</v>
      </c>
      <c r="B15" s="1">
        <f t="shared" si="0"/>
        <v>2391484</v>
      </c>
    </row>
    <row r="16" spans="1:2">
      <c r="A16" s="1">
        <v>14</v>
      </c>
      <c r="B16" s="1">
        <f t="shared" si="0"/>
        <v>7174453</v>
      </c>
    </row>
    <row r="17" spans="1:2">
      <c r="A17" s="1">
        <v>15</v>
      </c>
      <c r="B17" s="1">
        <f t="shared" si="0"/>
        <v>21523360</v>
      </c>
    </row>
    <row r="18" spans="1:2">
      <c r="A18" s="1">
        <v>16</v>
      </c>
      <c r="B18" s="1">
        <f t="shared" si="0"/>
        <v>64570081</v>
      </c>
    </row>
    <row r="19" spans="1:2">
      <c r="A19" s="1">
        <v>17</v>
      </c>
      <c r="B19" s="1">
        <f t="shared" si="0"/>
        <v>193710244</v>
      </c>
    </row>
    <row r="20" spans="1:2">
      <c r="A20" s="1">
        <v>18</v>
      </c>
      <c r="B20" s="1">
        <f t="shared" si="0"/>
        <v>581130733</v>
      </c>
    </row>
    <row r="21" spans="1:2">
      <c r="A21" s="1">
        <v>19</v>
      </c>
      <c r="B21" s="1">
        <f t="shared" si="0"/>
        <v>1743392200</v>
      </c>
    </row>
    <row r="22" spans="1:2">
      <c r="A22" s="1">
        <v>20</v>
      </c>
      <c r="B22" s="1">
        <f t="shared" si="0"/>
        <v>5230176601</v>
      </c>
    </row>
    <row r="23" spans="1:2">
      <c r="A23" s="1">
        <v>21</v>
      </c>
      <c r="B23" s="1">
        <f t="shared" si="0"/>
        <v>15690529804</v>
      </c>
    </row>
    <row r="24" spans="1:2">
      <c r="A24" s="1">
        <v>22</v>
      </c>
      <c r="B24" s="1">
        <f t="shared" si="0"/>
        <v>47071589413</v>
      </c>
    </row>
    <row r="25" spans="1:2">
      <c r="A25" s="1">
        <v>23</v>
      </c>
      <c r="B25" s="1">
        <f t="shared" si="0"/>
        <v>141214768240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workbookViewId="0">
      <selection activeCell="B6" sqref="B6"/>
    </sheetView>
  </sheetViews>
  <sheetFormatPr defaultColWidth="9" defaultRowHeight="13.8" outlineLevelCol="2"/>
  <cols>
    <col min="1" max="1" width="28.3" customWidth="1"/>
    <col min="2" max="4" width="18" customWidth="1"/>
  </cols>
  <sheetData>
    <row r="1" spans="1:3">
      <c r="A1" t="s">
        <v>0</v>
      </c>
      <c r="B1" t="s">
        <v>2</v>
      </c>
      <c r="C1" t="s">
        <v>3</v>
      </c>
    </row>
    <row r="2" spans="1:3">
      <c r="A2" s="1">
        <v>0</v>
      </c>
      <c r="B2" s="1">
        <f>VLOOKUP(A2,'Лист 1'!$A$1:$B$25,2,1)</f>
        <v>1</v>
      </c>
      <c r="C2" s="1">
        <f>VLOOKUP(A2,'Лист 2'!$A$1:$B$25,2,1)</f>
        <v>1</v>
      </c>
    </row>
    <row r="3" spans="1:3">
      <c r="A3" s="1">
        <v>1</v>
      </c>
      <c r="B3" s="1">
        <f>VLOOKUP(A3,'Лист 1'!$A$1:$B$25,2,1)</f>
        <v>3</v>
      </c>
      <c r="C3" s="1">
        <f>VLOOKUP(A3,'Лист 2'!$A$1:$B$25,2,1)</f>
        <v>4</v>
      </c>
    </row>
    <row r="4" spans="1:3">
      <c r="A4" s="1">
        <v>2</v>
      </c>
      <c r="B4" s="1">
        <f>VLOOKUP(A4,'Лист 1'!$A$1:$B$25,2,1)</f>
        <v>7</v>
      </c>
      <c r="C4" s="1">
        <f>VLOOKUP(A4,'Лист 2'!$A$1:$B$25,2,1)</f>
        <v>13</v>
      </c>
    </row>
    <row r="5" spans="1:3">
      <c r="A5" s="1">
        <v>3</v>
      </c>
      <c r="B5" s="1">
        <f>VLOOKUP(A5,'Лист 1'!$A$1:$B$25,2,1)</f>
        <v>15</v>
      </c>
      <c r="C5" s="1">
        <f>VLOOKUP(A5,'Лист 2'!$A$1:$B$25,2,1)</f>
        <v>40</v>
      </c>
    </row>
    <row r="6" spans="1:3">
      <c r="A6" s="1">
        <v>4</v>
      </c>
      <c r="B6" s="1">
        <f>VLOOKUP(A6,'Лист 1'!$A$1:$B$25,2,1)</f>
        <v>31</v>
      </c>
      <c r="C6" s="1">
        <f>VLOOKUP(A6,'Лист 2'!$A$1:$B$25,2,1)</f>
        <v>121</v>
      </c>
    </row>
    <row r="7" spans="1:3">
      <c r="A7" s="1">
        <v>5</v>
      </c>
      <c r="B7" s="1">
        <f>VLOOKUP(A7,'Лист 1'!$A$1:$B$25,2,1)</f>
        <v>63</v>
      </c>
      <c r="C7" s="1">
        <f>VLOOKUP(A7,'Лист 2'!$A$1:$B$25,2,1)</f>
        <v>364</v>
      </c>
    </row>
    <row r="8" spans="1:3">
      <c r="A8" s="1">
        <v>6</v>
      </c>
      <c r="B8" s="1">
        <f>VLOOKUP(A8,'Лист 1'!$A$1:$B$25,2,1)</f>
        <v>127</v>
      </c>
      <c r="C8" s="1">
        <f>VLOOKUP(A8,'Лист 2'!$A$1:$B$25,2,1)</f>
        <v>1093</v>
      </c>
    </row>
    <row r="9" spans="1:3">
      <c r="A9" s="1">
        <v>7</v>
      </c>
      <c r="B9" s="1">
        <f>VLOOKUP(A9,'Лист 1'!$A$1:$B$25,2,1)</f>
        <v>255</v>
      </c>
      <c r="C9" s="1">
        <f>VLOOKUP(A9,'Лист 2'!$A$1:$B$25,2,1)</f>
        <v>3280</v>
      </c>
    </row>
    <row r="10" spans="1:3">
      <c r="A10" s="1">
        <v>8</v>
      </c>
      <c r="B10" s="1">
        <f>VLOOKUP(A10,'Лист 1'!$A$1:$B$25,2,1)</f>
        <v>511</v>
      </c>
      <c r="C10" s="1">
        <f>VLOOKUP(A10,'Лист 2'!$A$1:$B$25,2,1)</f>
        <v>9841</v>
      </c>
    </row>
    <row r="11" spans="1:3">
      <c r="A11" s="1">
        <v>9</v>
      </c>
      <c r="B11" s="1">
        <f>VLOOKUP(A11,'Лист 1'!$A$1:$B$25,2,1)</f>
        <v>1023</v>
      </c>
      <c r="C11" s="1">
        <f>VLOOKUP(A11,'Лист 2'!$A$1:$B$25,2,1)</f>
        <v>29524</v>
      </c>
    </row>
    <row r="12" spans="1:3">
      <c r="A12" s="1">
        <v>10</v>
      </c>
      <c r="B12" s="1">
        <f>VLOOKUP(A12,'Лист 1'!$A$1:$B$25,2,1)</f>
        <v>2047</v>
      </c>
      <c r="C12" s="1">
        <f>VLOOKUP(A12,'Лист 2'!$A$1:$B$25,2,1)</f>
        <v>88573</v>
      </c>
    </row>
    <row r="13" spans="1:3">
      <c r="A13" s="1">
        <v>11</v>
      </c>
      <c r="B13" s="1">
        <f>VLOOKUP(A13,'Лист 1'!$A$1:$B$25,2,1)</f>
        <v>4095</v>
      </c>
      <c r="C13" s="1">
        <f>VLOOKUP(A13,'Лист 2'!$A$1:$B$25,2,1)</f>
        <v>265720</v>
      </c>
    </row>
    <row r="14" spans="1:3">
      <c r="A14" s="1">
        <v>12</v>
      </c>
      <c r="B14" s="1">
        <f>VLOOKUP(A14,'Лист 1'!$A$1:$B$25,2,1)</f>
        <v>8191</v>
      </c>
      <c r="C14" s="1">
        <f>VLOOKUP(A14,'Лист 2'!$A$1:$B$25,2,1)</f>
        <v>797161</v>
      </c>
    </row>
    <row r="15" spans="1:3">
      <c r="A15" s="1">
        <v>13</v>
      </c>
      <c r="B15" s="1">
        <f>VLOOKUP(A15,'Лист 1'!$A$1:$B$25,2,1)</f>
        <v>16383</v>
      </c>
      <c r="C15" s="1">
        <f>VLOOKUP(A15,'Лист 2'!$A$1:$B$25,2,1)</f>
        <v>2391484</v>
      </c>
    </row>
    <row r="16" spans="1:3">
      <c r="A16" s="1">
        <v>14</v>
      </c>
      <c r="B16" s="1">
        <f>VLOOKUP(A16,'Лист 1'!$A$1:$B$25,2,1)</f>
        <v>32767</v>
      </c>
      <c r="C16" s="1">
        <f>VLOOKUP(A16,'Лист 2'!$A$1:$B$25,2,1)</f>
        <v>7174453</v>
      </c>
    </row>
    <row r="17" spans="1:3">
      <c r="A17" s="1">
        <v>15</v>
      </c>
      <c r="B17" s="1">
        <f>VLOOKUP(A17,'Лист 1'!$A$1:$B$25,2,1)</f>
        <v>65535</v>
      </c>
      <c r="C17" s="1">
        <f>VLOOKUP(A17,'Лист 2'!$A$1:$B$25,2,1)</f>
        <v>21523360</v>
      </c>
    </row>
    <row r="18" spans="1:3">
      <c r="A18" s="1">
        <v>16</v>
      </c>
      <c r="B18" s="1">
        <f>VLOOKUP(A18,'Лист 1'!$A$1:$B$25,2,1)</f>
        <v>131071</v>
      </c>
      <c r="C18" s="1">
        <f>VLOOKUP(A18,'Лист 2'!$A$1:$B$25,2,1)</f>
        <v>64570081</v>
      </c>
    </row>
    <row r="19" spans="1:3">
      <c r="A19" s="1">
        <v>17</v>
      </c>
      <c r="B19" s="1">
        <f>VLOOKUP(A19,'Лист 1'!$A$1:$B$25,2,1)</f>
        <v>262143</v>
      </c>
      <c r="C19" s="1">
        <f>VLOOKUP(A19,'Лист 2'!$A$1:$B$25,2,1)</f>
        <v>193710244</v>
      </c>
    </row>
    <row r="20" spans="1:3">
      <c r="A20" s="1">
        <v>18</v>
      </c>
      <c r="B20" s="1">
        <f>VLOOKUP(A20,'Лист 1'!$A$1:$B$25,2,1)</f>
        <v>524287</v>
      </c>
      <c r="C20" s="1">
        <f>VLOOKUP(A20,'Лист 2'!$A$1:$B$25,2,1)</f>
        <v>581130733</v>
      </c>
    </row>
    <row r="21" spans="1:3">
      <c r="A21" s="1">
        <v>19</v>
      </c>
      <c r="B21" s="1">
        <f>VLOOKUP(A21,'Лист 1'!$A$1:$B$25,2,1)</f>
        <v>1048575</v>
      </c>
      <c r="C21" s="1">
        <f>VLOOKUP(A21,'Лист 2'!$A$1:$B$25,2,1)</f>
        <v>1743392200</v>
      </c>
    </row>
    <row r="22" spans="1:3">
      <c r="A22" s="1">
        <v>20</v>
      </c>
      <c r="B22" s="1">
        <f>VLOOKUP(A22,'Лист 1'!$A$1:$B$25,2,1)</f>
        <v>2097151</v>
      </c>
      <c r="C22" s="1">
        <f>VLOOKUP(A22,'Лист 2'!$A$1:$B$25,2,1)</f>
        <v>5230176601</v>
      </c>
    </row>
    <row r="23" spans="1:3">
      <c r="A23" s="1">
        <v>21</v>
      </c>
      <c r="B23" s="1">
        <f>VLOOKUP(A23,'Лист 1'!$A$1:$B$25,2,1)</f>
        <v>4194303</v>
      </c>
      <c r="C23" s="1">
        <f>VLOOKUP(A23,'Лист 2'!$A$1:$B$25,2,1)</f>
        <v>15690529804</v>
      </c>
    </row>
    <row r="24" spans="1:3">
      <c r="A24" s="1">
        <v>22</v>
      </c>
      <c r="B24" s="1">
        <f>VLOOKUP(A24,'Лист 1'!$A$1:$B$25,2,1)</f>
        <v>8388607</v>
      </c>
      <c r="C24" s="1">
        <f>VLOOKUP(A24,'Лист 2'!$A$1:$B$25,2,1)</f>
        <v>47071589413</v>
      </c>
    </row>
    <row r="25" spans="1:3">
      <c r="A25" s="1">
        <v>23</v>
      </c>
      <c r="B25" s="1">
        <f>VLOOKUP(A25,'Лист 1'!$A$1:$B$25,2,1)</f>
        <v>16777215</v>
      </c>
      <c r="C25" s="1">
        <f>VLOOKUP(A25,'Лист 2'!$A$1:$B$25,2,1)</f>
        <v>141214768240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B3" sqref="B3"/>
    </sheetView>
  </sheetViews>
  <sheetFormatPr defaultColWidth="9" defaultRowHeight="13.8" outlineLevelRow="6" outlineLevelCol="3"/>
  <cols>
    <col min="1" max="1" width="24" customWidth="1"/>
    <col min="2" max="4" width="18" customWidth="1"/>
  </cols>
  <sheetData>
    <row r="1" spans="1:4">
      <c r="A1" t="s">
        <v>4</v>
      </c>
      <c r="B1" t="s">
        <v>5</v>
      </c>
      <c r="C1" t="s">
        <v>6</v>
      </c>
      <c r="D1" t="s">
        <v>7</v>
      </c>
    </row>
    <row r="2" spans="1:4">
      <c r="A2" t="s">
        <v>8</v>
      </c>
      <c r="B2" s="1">
        <f>AVERAGE('Лист 3'!A2:A25)</f>
        <v>11.5</v>
      </c>
      <c r="C2" s="1">
        <f>AVERAGE('Лист 3'!B2:B25)</f>
        <v>1398100.25</v>
      </c>
      <c r="D2" s="1">
        <f>AVERAGE('Лист 3'!C2:C25)</f>
        <v>8825923014.5</v>
      </c>
    </row>
    <row r="3" spans="1:4">
      <c r="A3" t="s">
        <v>9</v>
      </c>
      <c r="B3" s="1">
        <f>MAX('Лист 3'!A2:A25)</f>
        <v>23</v>
      </c>
      <c r="C3" s="1">
        <f>MAX('Лист 3'!B2:B25)</f>
        <v>16777215</v>
      </c>
      <c r="D3" s="1">
        <f>MAX('Лист 3'!C2:C25)</f>
        <v>141214768240</v>
      </c>
    </row>
    <row r="4" spans="1:4">
      <c r="A4" t="s">
        <v>10</v>
      </c>
      <c r="B4" s="1">
        <f>MIN('Лист 3'!A2:A25)</f>
        <v>0</v>
      </c>
      <c r="C4" s="1">
        <f>MIN('Лист 3'!B2:B25)</f>
        <v>1</v>
      </c>
      <c r="D4" s="1">
        <f>MIN('Лист 3'!C2:C25)</f>
        <v>1</v>
      </c>
    </row>
    <row r="5" spans="1:4">
      <c r="A5" t="s">
        <v>11</v>
      </c>
      <c r="B5" s="1">
        <f>MEDIAN('Лист 3'!A2:A25)</f>
        <v>11.5</v>
      </c>
      <c r="C5" s="1">
        <f>MEDIAN('Лист 3'!B2:B25)</f>
        <v>6143</v>
      </c>
      <c r="D5" s="1">
        <f>MEDIAN('Лист 3'!C2:C25)</f>
        <v>531440.5</v>
      </c>
    </row>
    <row r="6" spans="1:4">
      <c r="A6" t="s">
        <v>12</v>
      </c>
      <c r="B6" s="1" t="str">
        <f>IFERROR(MODE.SNGL('Лист 3'!A2:A25),"нет")</f>
        <v>нет</v>
      </c>
      <c r="C6" s="1" t="str">
        <f>IFERROR(MODE.SNGL('Лист 3'!B2:B25),"нет")</f>
        <v>нет</v>
      </c>
      <c r="D6" s="1" t="str">
        <f>IFERROR(MODE.SNGL('Лист 3'!C2:C25),"нет")</f>
        <v>нет</v>
      </c>
    </row>
    <row r="7" spans="1:4">
      <c r="A7" t="s">
        <v>13</v>
      </c>
      <c r="B7" s="1">
        <f>_xlfn.VAR.S('Лист 3'!A2:A25)</f>
        <v>50</v>
      </c>
      <c r="C7" s="1">
        <f>_xlfn.VAR.S('Лист 3'!B2:B25)</f>
        <v>14277716453108.8</v>
      </c>
      <c r="D7" s="1">
        <f>_xlfn.VAR.S('Лист 3'!C2:C25)</f>
        <v>8.94121135033454e+20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A1" sqref="A1"/>
    </sheetView>
  </sheetViews>
  <sheetFormatPr defaultColWidth="9" defaultRowHeight="13.8" outlineLevelRow="4" outlineLevelCol="7"/>
  <cols>
    <col min="1" max="1" width="24" customWidth="1"/>
    <col min="2" max="8" width="12" customWidth="1"/>
  </cols>
  <sheetData>
    <row r="1" spans="1:8">
      <c r="A1" t="s">
        <v>14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</row>
    <row r="2" spans="1:8">
      <c r="A2" t="s">
        <v>15</v>
      </c>
      <c r="B2">
        <v>1510000</v>
      </c>
      <c r="C2">
        <v>2236476</v>
      </c>
      <c r="D2">
        <v>1934765</v>
      </c>
      <c r="E2">
        <v>4543534</v>
      </c>
      <c r="F2">
        <v>2348887</v>
      </c>
      <c r="G2">
        <v>1170004</v>
      </c>
      <c r="H2">
        <v>2344598</v>
      </c>
    </row>
    <row r="3" spans="1:8">
      <c r="A3" t="s">
        <v>16</v>
      </c>
      <c r="B3">
        <v>237800</v>
      </c>
      <c r="C3">
        <v>732647</v>
      </c>
      <c r="D3">
        <v>567672</v>
      </c>
      <c r="E3">
        <v>234234</v>
      </c>
      <c r="F3">
        <v>323217</v>
      </c>
      <c r="G3">
        <v>634423</v>
      </c>
      <c r="H3">
        <v>235455</v>
      </c>
    </row>
    <row r="4" spans="1:8">
      <c r="A4" t="s">
        <v>17</v>
      </c>
      <c r="B4">
        <v>3211400</v>
      </c>
      <c r="C4">
        <v>4873837</v>
      </c>
      <c r="D4">
        <v>3654654</v>
      </c>
      <c r="E4">
        <v>3453453</v>
      </c>
      <c r="F4">
        <v>5435523</v>
      </c>
      <c r="G4">
        <v>4586959</v>
      </c>
      <c r="H4">
        <v>8576885</v>
      </c>
    </row>
    <row r="5" spans="1:8">
      <c r="A5" t="s">
        <v>18</v>
      </c>
      <c r="B5">
        <v>4961201</v>
      </c>
      <c r="C5">
        <v>7844962</v>
      </c>
      <c r="D5">
        <v>6159094</v>
      </c>
      <c r="E5">
        <v>8233225</v>
      </c>
      <c r="F5">
        <v>8109432</v>
      </c>
      <c r="G5">
        <v>6393392</v>
      </c>
      <c r="H5">
        <v>11158945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Лист 1</vt:lpstr>
      <vt:lpstr>Лист 2</vt:lpstr>
      <vt:lpstr>Лист 3</vt:lpstr>
      <vt:lpstr>Лист 4</vt:lpstr>
      <vt:lpstr>Лист 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37533</cp:lastModifiedBy>
  <dcterms:created xsi:type="dcterms:W3CDTF">2026-05-26T08:06:50Z</dcterms:created>
  <dcterms:modified xsi:type="dcterms:W3CDTF">2026-05-26T08:10:02Z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8204299F879E4A579D93497CF0A406D2_13</vt:lpwstr>
  </property>
  <property fmtid="{D5CDD505-2E9C-101B-9397-08002B2CF9AE}" pid="3" name="KSOProductBuildVer">
    <vt:lpwstr>1049-12.1.0.26372</vt:lpwstr>
  </property>
  <property fmtid="{D5CDD505-2E9C-101B-9397-08002B2CF9AE}" pid="4" name="CalculationRule">
    <vt:i4>0</vt:i4>
  </property>
</Properties>
</file>